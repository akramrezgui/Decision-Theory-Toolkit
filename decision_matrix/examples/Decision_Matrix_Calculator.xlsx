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enovo\OneDrive\Desktop\finance theory\"/>
    </mc:Choice>
  </mc:AlternateContent>
  <xr:revisionPtr revIDLastSave="0" documentId="13_ncr:1_{D5FDFBBA-0702-4A92-8287-E6ED11C75BE8}" xr6:coauthVersionLast="47" xr6:coauthVersionMax="47" xr10:uidLastSave="{00000000-0000-0000-0000-000000000000}"/>
  <bookViews>
    <workbookView xWindow="-110" yWindow="-110" windowWidth="19420" windowHeight="10300" tabRatio="500" activeTab="2" xr2:uid="{00000000-000D-0000-FFFF-FFFF00000000}"/>
  </bookViews>
  <sheets>
    <sheet name="Inputs" sheetId="1" r:id="rId1"/>
    <sheet name="Calculations" sheetId="2" r:id="rId2"/>
    <sheet name="Results" sheetId="3" r:id="rId3"/>
  </sheets>
  <definedNames>
    <definedName name="_xlnm.Print_Area" localSheetId="1">Calculations!$A$1:$F$18</definedName>
    <definedName name="_xlnm.Print_Area" localSheetId="0">Inputs!$A$1:$G$18</definedName>
    <definedName name="_xlnm.Print_Area" localSheetId="2">Results!$A$1:$P$38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17" i="3" l="1"/>
  <c r="A16" i="3"/>
  <c r="A15" i="3"/>
  <c r="B18" i="2"/>
  <c r="A18" i="2"/>
  <c r="B17" i="2"/>
  <c r="A17" i="2"/>
  <c r="D16" i="2"/>
  <c r="A16" i="2"/>
  <c r="D12" i="2"/>
  <c r="D18" i="2" s="1"/>
  <c r="C12" i="2"/>
  <c r="C17" i="2" s="1"/>
  <c r="B12" i="2"/>
  <c r="B16" i="2" s="1"/>
  <c r="F8" i="2"/>
  <c r="F24" i="3" s="1"/>
  <c r="E8" i="2"/>
  <c r="E24" i="3" s="1"/>
  <c r="D8" i="2"/>
  <c r="D24" i="3" s="1"/>
  <c r="C8" i="2"/>
  <c r="C24" i="3" s="1"/>
  <c r="B8" i="2"/>
  <c r="B24" i="3" s="1"/>
  <c r="A8" i="2"/>
  <c r="A24" i="3" s="1"/>
  <c r="F7" i="2"/>
  <c r="F23" i="3" s="1"/>
  <c r="D7" i="2"/>
  <c r="D23" i="3" s="1"/>
  <c r="C7" i="2"/>
  <c r="C7" i="3" s="1"/>
  <c r="B7" i="2"/>
  <c r="B23" i="3" s="1"/>
  <c r="A7" i="2"/>
  <c r="A23" i="3" s="1"/>
  <c r="F6" i="2"/>
  <c r="C11" i="3" s="1"/>
  <c r="D6" i="2"/>
  <c r="C9" i="3" s="1"/>
  <c r="C6" i="2"/>
  <c r="C22" i="3" s="1"/>
  <c r="B6" i="2"/>
  <c r="B22" i="3" s="1"/>
  <c r="A6" i="2"/>
  <c r="A22" i="3" s="1"/>
  <c r="B15" i="1"/>
  <c r="D17" i="2" l="1"/>
  <c r="E17" i="2" s="1"/>
  <c r="C6" i="3"/>
  <c r="C16" i="2"/>
  <c r="E16" i="2" s="1"/>
  <c r="B7" i="3"/>
  <c r="D7" i="3" s="1"/>
  <c r="D22" i="3"/>
  <c r="C18" i="2"/>
  <c r="E18" i="2" s="1"/>
  <c r="E7" i="2"/>
  <c r="E23" i="3" s="1"/>
  <c r="F22" i="3"/>
  <c r="B11" i="3"/>
  <c r="D11" i="3" s="1"/>
  <c r="E6" i="2"/>
  <c r="B6" i="3"/>
  <c r="B9" i="3"/>
  <c r="D9" i="3" s="1"/>
  <c r="C23" i="3"/>
  <c r="C8" i="3" l="1"/>
  <c r="B8" i="3"/>
  <c r="D8" i="3" s="1"/>
  <c r="B15" i="3"/>
  <c r="B17" i="3"/>
  <c r="B16" i="3"/>
  <c r="D6" i="3"/>
  <c r="C10" i="3"/>
  <c r="E22" i="3"/>
  <c r="B10" i="3"/>
  <c r="D10" i="3" s="1"/>
  <c r="B18" i="3" l="1"/>
</calcChain>
</file>

<file path=xl/sharedStrings.xml><?xml version="1.0" encoding="utf-8"?>
<sst xmlns="http://schemas.openxmlformats.org/spreadsheetml/2006/main" count="63" uniqueCount="48">
  <si>
    <t>Decision Matrix Calculator</t>
  </si>
  <si>
    <t>Multi-Criteria Decision Analysis Under Uncertainty</t>
  </si>
  <si>
    <t>How to use this workbook</t>
  </si>
  <si>
    <t>Edit only the yellow cells below: the payoff matrix, the probabilities, and the Hurwicz coefficient. Everything else recalculates automatically. To add an alternative or a state, insert a row/column in the same style and extend the formulas on the Calculations and Results sheets.</t>
  </si>
  <si>
    <t>Editable input</t>
  </si>
  <si>
    <t>Auto-calculated (do not edit)</t>
  </si>
  <si>
    <t>Payoff Matrix</t>
  </si>
  <si>
    <t>Alternative</t>
  </si>
  <si>
    <t>State 1</t>
  </si>
  <si>
    <t>State 2</t>
  </si>
  <si>
    <t>State 3</t>
  </si>
  <si>
    <t>Probability</t>
  </si>
  <si>
    <t>A</t>
  </si>
  <si>
    <t>B</t>
  </si>
  <si>
    <t>C</t>
  </si>
  <si>
    <t>Probability check (should equal 100%)</t>
  </si>
  <si>
    <t>Decision Parameter</t>
  </si>
  <si>
    <t>Hurwicz optimism coefficient (α)</t>
  </si>
  <si>
    <t>0 = fully pessimistic → 1 = fully optimistic</t>
  </si>
  <si>
    <t>Calculations</t>
  </si>
  <si>
    <t>All scores are derived automatically from the Inputs sheet</t>
  </si>
  <si>
    <t>Per-Alternative Criterion Scores</t>
  </si>
  <si>
    <t>Maximax
(Best Case)</t>
  </si>
  <si>
    <t>Maximin
(Worst Case)</t>
  </si>
  <si>
    <t>Laplace
(Average)</t>
  </si>
  <si>
    <t>Hurwicz
Score</t>
  </si>
  <si>
    <t>Expected
Value</t>
  </si>
  <si>
    <t>Best Payoff per State (used for Regret)</t>
  </si>
  <si>
    <t>Best payoff</t>
  </si>
  <si>
    <t>Regret Matrix (Opportunity Loss)</t>
  </si>
  <si>
    <t>Max Regret</t>
  </si>
  <si>
    <t>Results &amp; Recommendations</t>
  </si>
  <si>
    <t>The best alternative under each decision criterion</t>
  </si>
  <si>
    <t>Recommendation by Criterion</t>
  </si>
  <si>
    <t>Criterion</t>
  </si>
  <si>
    <t>Best Alternative</t>
  </si>
  <si>
    <t>Score</t>
  </si>
  <si>
    <t>Explanation</t>
  </si>
  <si>
    <t>Maximax</t>
  </si>
  <si>
    <t>Maximin</t>
  </si>
  <si>
    <t>Minimax Regret</t>
  </si>
  <si>
    <t>Laplace</t>
  </si>
  <si>
    <t>Hurwicz</t>
  </si>
  <si>
    <t>Expected Value</t>
  </si>
  <si>
    <t>Overall Recommendation (Votes Across Criteria)</t>
  </si>
  <si>
    <t>Times Recommended</t>
  </si>
  <si>
    <t>Most recommended alternative:</t>
  </si>
  <si>
    <t>Criterion Score Comparison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</si>
</sst>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1"/>
      <color rgb="FFD9E2F3"/>
      <name val="Arial"/>
      <charset val="1"/>
    </font>
    <font>
      <b/>
      <sz val="10"/>
      <name val="Arial"/>
      <charset val="1"/>
    </font>
    <font>
      <i/>
      <sz val="9"/>
      <color rgb="FF595959"/>
      <name val="Arial"/>
      <charset val="1"/>
    </font>
    <font>
      <i/>
      <sz val="9"/>
      <name val="Arial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b/>
      <sz val="10"/>
      <color rgb="FF0000FF"/>
      <name val="Arial"/>
      <charset val="1"/>
    </font>
    <font>
      <sz val="10"/>
      <color rgb="FF000000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2E5395"/>
      </patternFill>
    </fill>
    <fill>
      <patternFill patternType="solid">
        <fgColor rgb="FFFFF2CC"/>
        <bgColor rgb="FFF2F2F2"/>
      </patternFill>
    </fill>
    <fill>
      <patternFill patternType="solid">
        <fgColor rgb="FFFFFFFF"/>
        <bgColor rgb="FFF9F9F9"/>
      </patternFill>
    </fill>
    <fill>
      <patternFill patternType="solid">
        <fgColor rgb="FF2E5395"/>
        <bgColor rgb="FF1F3864"/>
      </patternFill>
    </fill>
    <fill>
      <patternFill patternType="solid">
        <fgColor rgb="FFF2F2F2"/>
        <bgColor rgb="FFF9F9F9"/>
      </patternFill>
    </fill>
    <fill>
      <patternFill patternType="solid">
        <fgColor rgb="FFC6EFCE"/>
        <bgColor rgb="FFD9E2F3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4" fillId="0" borderId="0" xfId="0" applyFont="1"/>
    <xf numFmtId="164" fontId="8" fillId="0" borderId="1" xfId="0" applyNumberFormat="1" applyFont="1" applyBorder="1" applyAlignment="1">
      <alignment horizontal="center"/>
    </xf>
    <xf numFmtId="0" fontId="6" fillId="5" borderId="0" xfId="0" applyFont="1" applyFill="1" applyAlignment="1">
      <alignment horizontal="left" vertical="center" indent="1"/>
    </xf>
    <xf numFmtId="0" fontId="4" fillId="0" borderId="0" xfId="0" applyFont="1" applyAlignment="1">
      <alignment vertical="top" wrapText="1"/>
    </xf>
    <xf numFmtId="0" fontId="2" fillId="2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3" fillId="0" borderId="0" xfId="0" applyFont="1"/>
    <xf numFmtId="0" fontId="0" fillId="3" borderId="1" xfId="0" applyFill="1" applyBorder="1"/>
    <xf numFmtId="0" fontId="5" fillId="0" borderId="0" xfId="0" applyFont="1"/>
    <xf numFmtId="0" fontId="0" fillId="4" borderId="1" xfId="0" applyFill="1" applyBorder="1"/>
    <xf numFmtId="0" fontId="7" fillId="2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left" indent="1"/>
    </xf>
    <xf numFmtId="164" fontId="9" fillId="3" borderId="1" xfId="0" applyNumberFormat="1" applyFont="1" applyFill="1" applyBorder="1" applyAlignment="1">
      <alignment horizontal="center"/>
    </xf>
    <xf numFmtId="2" fontId="9" fillId="3" borderId="1" xfId="0" applyNumberFormat="1" applyFont="1" applyFill="1" applyBorder="1" applyAlignment="1">
      <alignment horizontal="center"/>
    </xf>
    <xf numFmtId="0" fontId="10" fillId="0" borderId="1" xfId="0" applyFont="1" applyBorder="1" applyAlignment="1">
      <alignment horizontal="left" indent="1"/>
    </xf>
    <xf numFmtId="0" fontId="8" fillId="0" borderId="1" xfId="0" applyFont="1" applyBorder="1" applyAlignment="1">
      <alignment horizontal="left"/>
    </xf>
    <xf numFmtId="2" fontId="10" fillId="0" borderId="1" xfId="0" applyNumberFormat="1" applyFont="1" applyBorder="1" applyAlignment="1">
      <alignment horizontal="center"/>
    </xf>
    <xf numFmtId="0" fontId="0" fillId="2" borderId="1" xfId="0" applyFill="1" applyBorder="1"/>
    <xf numFmtId="2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left" indent="1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left"/>
    </xf>
    <xf numFmtId="1" fontId="10" fillId="0" borderId="1" xfId="0" applyNumberFormat="1" applyFont="1" applyBorder="1" applyAlignment="1">
      <alignment horizontal="center"/>
    </xf>
    <xf numFmtId="0" fontId="8" fillId="7" borderId="1" xfId="0" applyFont="1" applyFill="1" applyBorder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7B7B7"/>
      <rgbColor rgb="FF878787"/>
      <rgbColor rgb="FF9999FF"/>
      <rgbColor rgb="FFC0504D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C6EFCE"/>
      <rgbColor rgb="FFF9F9F9"/>
      <rgbColor rgb="FF99CCFF"/>
      <rgbColor rgb="FFFF99CC"/>
      <rgbColor rgb="FFCC99FF"/>
      <rgbColor rgb="FFFFC7CE"/>
      <rgbColor rgb="FF4F81BD"/>
      <rgbColor rgb="FF4BACC6"/>
      <rgbColor rgb="FF9BBB59"/>
      <rgbColor rgb="FFFFCC00"/>
      <rgbColor rgb="FFFF9900"/>
      <rgbColor rgb="FFFF6600"/>
      <rgbColor rgb="FF8064A2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CA" sz="1800" b="1" strike="noStrike" spc="-1">
                <a:solidFill>
                  <a:srgbClr val="000000"/>
                </a:solidFill>
                <a:latin typeface="Calibri"/>
              </a:rPr>
              <a:t>Criterion Scores by Alternative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Results!$B$21</c:f>
              <c:strCache>
                <c:ptCount val="1"/>
                <c:pt idx="0">
                  <c:v>Maximax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Results!$A$22:$A$24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Results!$B$22:$B$24</c:f>
              <c:numCache>
                <c:formatCode>0.00</c:formatCode>
                <c:ptCount val="3"/>
                <c:pt idx="0">
                  <c:v>10</c:v>
                </c:pt>
                <c:pt idx="1">
                  <c:v>7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83-4409-A10B-D3E76913ADB5}"/>
            </c:ext>
          </c:extLst>
        </c:ser>
        <c:ser>
          <c:idx val="1"/>
          <c:order val="1"/>
          <c:tx>
            <c:strRef>
              <c:f>Results!$C$21</c:f>
              <c:strCache>
                <c:ptCount val="1"/>
                <c:pt idx="0">
                  <c:v>Maximin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Results!$A$22:$A$24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Results!$C$22:$C$24</c:f>
              <c:numCache>
                <c:formatCode>0.00</c:formatCode>
                <c:ptCount val="3"/>
                <c:pt idx="0">
                  <c:v>-2</c:v>
                </c:pt>
                <c:pt idx="1">
                  <c:v>4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83-4409-A10B-D3E76913ADB5}"/>
            </c:ext>
          </c:extLst>
        </c:ser>
        <c:ser>
          <c:idx val="2"/>
          <c:order val="2"/>
          <c:tx>
            <c:strRef>
              <c:f>Results!$D$21</c:f>
              <c:strCache>
                <c:ptCount val="1"/>
                <c:pt idx="0">
                  <c:v>Laplace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Results!$A$22:$A$24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Results!$D$22:$D$24</c:f>
              <c:numCache>
                <c:formatCode>0.00</c:formatCode>
                <c:ptCount val="3"/>
                <c:pt idx="0">
                  <c:v>4.333333333333333</c:v>
                </c:pt>
                <c:pt idx="1">
                  <c:v>5.666666666666667</c:v>
                </c:pt>
                <c:pt idx="2">
                  <c:v>6.666666666666667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83-4409-A10B-D3E76913ADB5}"/>
            </c:ext>
          </c:extLst>
        </c:ser>
        <c:ser>
          <c:idx val="3"/>
          <c:order val="3"/>
          <c:tx>
            <c:strRef>
              <c:f>Results!$E$21</c:f>
              <c:strCache>
                <c:ptCount val="1"/>
                <c:pt idx="0">
                  <c:v>Hurwicz</c:v>
                </c:pt>
              </c:strCache>
            </c:strRef>
          </c:tx>
          <c:spPr>
            <a:solidFill>
              <a:srgbClr val="8064A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Results!$A$22:$A$24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Results!$E$22:$E$24</c:f>
              <c:numCache>
                <c:formatCode>0.00</c:formatCode>
                <c:ptCount val="3"/>
                <c:pt idx="0">
                  <c:v>5.2</c:v>
                </c:pt>
                <c:pt idx="1">
                  <c:v>5.8000000000000007</c:v>
                </c:pt>
                <c:pt idx="2">
                  <c:v>6.6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583-4409-A10B-D3E76913ADB5}"/>
            </c:ext>
          </c:extLst>
        </c:ser>
        <c:ser>
          <c:idx val="4"/>
          <c:order val="4"/>
          <c:tx>
            <c:strRef>
              <c:f>Results!$F$21</c:f>
              <c:strCache>
                <c:ptCount val="1"/>
                <c:pt idx="0">
                  <c:v>Expected Value</c:v>
                </c:pt>
              </c:strCache>
            </c:strRef>
          </c:tx>
          <c:spPr>
            <a:solidFill>
              <a:srgbClr val="4BACC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Results!$A$22:$A$24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Results!$F$22:$F$24</c:f>
              <c:numCache>
                <c:formatCode>0.00</c:formatCode>
                <c:ptCount val="3"/>
                <c:pt idx="0">
                  <c:v>5.0999999999999996</c:v>
                </c:pt>
                <c:pt idx="1">
                  <c:v>5.8999999999999995</c:v>
                </c:pt>
                <c:pt idx="2">
                  <c:v>6.7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583-4409-A10B-D3E76913A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169221"/>
        <c:axId val="41267532"/>
      </c:barChart>
      <c:catAx>
        <c:axId val="516922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CA" sz="1000" b="1" strike="noStrike" spc="-1">
                    <a:solidFill>
                      <a:srgbClr val="000000"/>
                    </a:solidFill>
                    <a:latin typeface="Calibri"/>
                  </a:rPr>
                  <a:t>Alternative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41267532"/>
        <c:crosses val="autoZero"/>
        <c:auto val="1"/>
        <c:lblAlgn val="ctr"/>
        <c:lblOffset val="100"/>
        <c:noMultiLvlLbl val="0"/>
      </c:catAx>
      <c:valAx>
        <c:axId val="412675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CA" sz="1000" b="1" strike="noStrike" spc="-1">
                    <a:solidFill>
                      <a:srgbClr val="000000"/>
                    </a:solidFill>
                    <a:latin typeface="Calibri"/>
                  </a:rPr>
                  <a:t>Payoff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516922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18</xdr:row>
      <xdr:rowOff>77760</xdr:rowOff>
    </xdr:from>
    <xdr:to>
      <xdr:col>15</xdr:col>
      <xdr:colOff>461880</xdr:colOff>
      <xdr:row>33</xdr:row>
      <xdr:rowOff>148320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  <pageSetUpPr fitToPage="1"/>
  </sheetPr>
  <dimension ref="A1:G18"/>
  <sheetViews>
    <sheetView showGridLines="0" zoomScaleNormal="100" workbookViewId="0">
      <pane ySplit="3" topLeftCell="A7" activePane="bottomLeft" state="frozen"/>
      <selection pane="bottomLeft" activeCell="E13" sqref="E13"/>
    </sheetView>
  </sheetViews>
  <sheetFormatPr defaultColWidth="8.6328125" defaultRowHeight="14.5" x14ac:dyDescent="0.35"/>
  <cols>
    <col min="1" max="1" width="22" customWidth="1"/>
    <col min="2" max="4" width="14" customWidth="1"/>
    <col min="5" max="5" width="4" customWidth="1"/>
    <col min="6" max="7" width="30" customWidth="1"/>
  </cols>
  <sheetData>
    <row r="1" spans="1:7" ht="27.75" customHeight="1" x14ac:dyDescent="0.35">
      <c r="A1" s="6" t="s">
        <v>0</v>
      </c>
      <c r="B1" s="6"/>
      <c r="C1" s="6"/>
      <c r="D1" s="6"/>
    </row>
    <row r="2" spans="1:7" ht="18" customHeight="1" x14ac:dyDescent="0.35">
      <c r="A2" s="5" t="s">
        <v>1</v>
      </c>
      <c r="B2" s="5"/>
      <c r="C2" s="5"/>
      <c r="D2" s="5"/>
    </row>
    <row r="4" spans="1:7" x14ac:dyDescent="0.35">
      <c r="A4" s="7" t="s">
        <v>2</v>
      </c>
    </row>
    <row r="5" spans="1:7" ht="42" customHeight="1" x14ac:dyDescent="0.35">
      <c r="A5" s="4" t="s">
        <v>3</v>
      </c>
      <c r="B5" s="4"/>
      <c r="C5" s="4"/>
      <c r="D5" s="4"/>
      <c r="E5" s="4"/>
      <c r="F5" s="4"/>
      <c r="G5" s="4"/>
    </row>
    <row r="7" spans="1:7" x14ac:dyDescent="0.35">
      <c r="A7" s="8"/>
      <c r="B7" s="9" t="s">
        <v>4</v>
      </c>
      <c r="C7" s="10"/>
      <c r="D7" s="9" t="s">
        <v>5</v>
      </c>
    </row>
    <row r="9" spans="1:7" ht="19.5" customHeight="1" x14ac:dyDescent="0.35">
      <c r="A9" s="3" t="s">
        <v>6</v>
      </c>
      <c r="B9" s="3"/>
      <c r="C9" s="3"/>
      <c r="D9" s="3"/>
    </row>
    <row r="10" spans="1:7" x14ac:dyDescent="0.35">
      <c r="A10" s="11" t="s">
        <v>7</v>
      </c>
      <c r="B10" s="11" t="s">
        <v>8</v>
      </c>
      <c r="C10" s="11" t="s">
        <v>9</v>
      </c>
      <c r="D10" s="11" t="s">
        <v>10</v>
      </c>
    </row>
    <row r="11" spans="1:7" x14ac:dyDescent="0.35">
      <c r="A11" s="12" t="s">
        <v>11</v>
      </c>
      <c r="B11" s="13">
        <v>0.3</v>
      </c>
      <c r="C11" s="13">
        <v>0.5</v>
      </c>
      <c r="D11" s="13">
        <v>0.2</v>
      </c>
    </row>
    <row r="12" spans="1:7" x14ac:dyDescent="0.35">
      <c r="A12" s="12" t="s">
        <v>12</v>
      </c>
      <c r="B12" s="14">
        <v>10</v>
      </c>
      <c r="C12" s="14">
        <v>5</v>
      </c>
      <c r="D12" s="14">
        <v>-2</v>
      </c>
    </row>
    <row r="13" spans="1:7" x14ac:dyDescent="0.35">
      <c r="A13" s="12" t="s">
        <v>13</v>
      </c>
      <c r="B13" s="14">
        <v>7</v>
      </c>
      <c r="C13" s="14">
        <v>6</v>
      </c>
      <c r="D13" s="14">
        <v>4</v>
      </c>
    </row>
    <row r="14" spans="1:7" x14ac:dyDescent="0.35">
      <c r="A14" s="12" t="s">
        <v>14</v>
      </c>
      <c r="B14" s="14">
        <v>3</v>
      </c>
      <c r="C14" s="14">
        <v>8</v>
      </c>
      <c r="D14" s="14">
        <v>9</v>
      </c>
    </row>
    <row r="15" spans="1:7" x14ac:dyDescent="0.35">
      <c r="A15" s="15" t="s">
        <v>15</v>
      </c>
      <c r="B15" s="2">
        <f>SUM(B11:D11)</f>
        <v>1</v>
      </c>
      <c r="C15" s="2"/>
      <c r="D15" s="2"/>
    </row>
    <row r="17" spans="1:4" ht="19.5" customHeight="1" x14ac:dyDescent="0.35">
      <c r="A17" s="3" t="s">
        <v>16</v>
      </c>
      <c r="B17" s="3"/>
      <c r="C17" s="3"/>
      <c r="D17" s="3"/>
    </row>
    <row r="18" spans="1:4" x14ac:dyDescent="0.35">
      <c r="A18" s="12" t="s">
        <v>17</v>
      </c>
      <c r="B18" s="14">
        <v>0.6</v>
      </c>
      <c r="C18" s="1" t="s">
        <v>18</v>
      </c>
      <c r="D18" s="1"/>
    </row>
  </sheetData>
  <mergeCells count="7">
    <mergeCell ref="A17:D17"/>
    <mergeCell ref="C18:D18"/>
    <mergeCell ref="A1:D1"/>
    <mergeCell ref="A2:D2"/>
    <mergeCell ref="A5:G5"/>
    <mergeCell ref="A9:D9"/>
    <mergeCell ref="B15:D15"/>
  </mergeCells>
  <conditionalFormatting sqref="B15">
    <cfRule type="cellIs" dxfId="1" priority="2" operator="equal">
      <formula>1</formula>
    </cfRule>
    <cfRule type="cellIs" dxfId="0" priority="3" operator="notEqual">
      <formula>1</formula>
    </cfRule>
  </conditionalFormatting>
  <pageMargins left="0.75" right="0.75" top="1" bottom="1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  <pageSetUpPr fitToPage="1"/>
  </sheetPr>
  <dimension ref="A1:F18"/>
  <sheetViews>
    <sheetView showGridLines="0" zoomScaleNormal="100" workbookViewId="0">
      <pane ySplit="3" topLeftCell="A6" activePane="bottomLeft" state="frozen"/>
      <selection pane="bottomLeft" sqref="A1:F1"/>
    </sheetView>
  </sheetViews>
  <sheetFormatPr defaultColWidth="8.6328125" defaultRowHeight="14.5" x14ac:dyDescent="0.35"/>
  <cols>
    <col min="1" max="6" width="16" customWidth="1"/>
  </cols>
  <sheetData>
    <row r="1" spans="1:6" ht="27.75" customHeight="1" x14ac:dyDescent="0.35">
      <c r="A1" s="6" t="s">
        <v>19</v>
      </c>
      <c r="B1" s="6"/>
      <c r="C1" s="6"/>
      <c r="D1" s="6"/>
      <c r="E1" s="6"/>
      <c r="F1" s="6"/>
    </row>
    <row r="2" spans="1:6" x14ac:dyDescent="0.35">
      <c r="A2" s="5" t="s">
        <v>20</v>
      </c>
      <c r="B2" s="5"/>
      <c r="C2" s="5"/>
      <c r="D2" s="5"/>
      <c r="E2" s="5"/>
      <c r="F2" s="5"/>
    </row>
    <row r="4" spans="1:6" ht="19.5" customHeight="1" x14ac:dyDescent="0.35">
      <c r="A4" s="3" t="s">
        <v>21</v>
      </c>
      <c r="B4" s="3"/>
      <c r="C4" s="3"/>
      <c r="D4" s="3"/>
      <c r="E4" s="3"/>
      <c r="F4" s="3"/>
    </row>
    <row r="5" spans="1:6" ht="30" customHeight="1" x14ac:dyDescent="0.35">
      <c r="A5" s="11" t="s">
        <v>7</v>
      </c>
      <c r="B5" s="11" t="s">
        <v>22</v>
      </c>
      <c r="C5" s="11" t="s">
        <v>23</v>
      </c>
      <c r="D5" s="11" t="s">
        <v>24</v>
      </c>
      <c r="E5" s="11" t="s">
        <v>25</v>
      </c>
      <c r="F5" s="11" t="s">
        <v>26</v>
      </c>
    </row>
    <row r="6" spans="1:6" x14ac:dyDescent="0.35">
      <c r="A6" s="16" t="str">
        <f>Inputs!A12</f>
        <v>A</v>
      </c>
      <c r="B6" s="17">
        <f>MAX(Inputs!B12:D12)</f>
        <v>10</v>
      </c>
      <c r="C6" s="17">
        <f>MIN(Inputs!B12:D12)</f>
        <v>-2</v>
      </c>
      <c r="D6" s="17">
        <f>AVERAGE(Inputs!B12:D12)</f>
        <v>4.333333333333333</v>
      </c>
      <c r="E6" s="17">
        <f>Inputs!$B$18*B6+(1-Inputs!$B$18)*C6</f>
        <v>5.2</v>
      </c>
      <c r="F6" s="17">
        <f>SUMPRODUCT(Inputs!$B$11:$D$11,Inputs!B12:D12)</f>
        <v>5.0999999999999996</v>
      </c>
    </row>
    <row r="7" spans="1:6" x14ac:dyDescent="0.35">
      <c r="A7" s="16" t="str">
        <f>Inputs!A13</f>
        <v>B</v>
      </c>
      <c r="B7" s="17">
        <f>MAX(Inputs!B13:D13)</f>
        <v>7</v>
      </c>
      <c r="C7" s="17">
        <f>MIN(Inputs!B13:D13)</f>
        <v>4</v>
      </c>
      <c r="D7" s="17">
        <f>AVERAGE(Inputs!B13:D13)</f>
        <v>5.666666666666667</v>
      </c>
      <c r="E7" s="17">
        <f>Inputs!$B$18*B7+(1-Inputs!$B$18)*C7</f>
        <v>5.8000000000000007</v>
      </c>
      <c r="F7" s="17">
        <f>SUMPRODUCT(Inputs!$B$11:$D$11,Inputs!B13:D13)</f>
        <v>5.8999999999999995</v>
      </c>
    </row>
    <row r="8" spans="1:6" x14ac:dyDescent="0.35">
      <c r="A8" s="16" t="str">
        <f>Inputs!A14</f>
        <v>C</v>
      </c>
      <c r="B8" s="17">
        <f>MAX(Inputs!B14:D14)</f>
        <v>9</v>
      </c>
      <c r="C8" s="17">
        <f>MIN(Inputs!B14:D14)</f>
        <v>3</v>
      </c>
      <c r="D8" s="17">
        <f>AVERAGE(Inputs!B14:D14)</f>
        <v>6.666666666666667</v>
      </c>
      <c r="E8" s="17">
        <f>Inputs!$B$18*B8+(1-Inputs!$B$18)*C8</f>
        <v>6.6</v>
      </c>
      <c r="F8" s="17">
        <f>SUMPRODUCT(Inputs!$B$11:$D$11,Inputs!B14:D14)</f>
        <v>6.7</v>
      </c>
    </row>
    <row r="10" spans="1:6" ht="19.5" customHeight="1" x14ac:dyDescent="0.35">
      <c r="A10" s="3" t="s">
        <v>27</v>
      </c>
      <c r="B10" s="3"/>
      <c r="C10" s="3"/>
      <c r="D10" s="3"/>
    </row>
    <row r="11" spans="1:6" x14ac:dyDescent="0.35">
      <c r="A11" s="18"/>
      <c r="B11" s="11" t="s">
        <v>8</v>
      </c>
      <c r="C11" s="11" t="s">
        <v>9</v>
      </c>
      <c r="D11" s="11" t="s">
        <v>10</v>
      </c>
    </row>
    <row r="12" spans="1:6" x14ac:dyDescent="0.35">
      <c r="A12" s="12" t="s">
        <v>28</v>
      </c>
      <c r="B12" s="17">
        <f>MAX(Inputs!B12:B14)</f>
        <v>10</v>
      </c>
      <c r="C12" s="17">
        <f>MAX(Inputs!C12:C14)</f>
        <v>8</v>
      </c>
      <c r="D12" s="17">
        <f>MAX(Inputs!D12:D14)</f>
        <v>9</v>
      </c>
    </row>
    <row r="14" spans="1:6" ht="19.5" customHeight="1" x14ac:dyDescent="0.35">
      <c r="A14" s="3" t="s">
        <v>29</v>
      </c>
      <c r="B14" s="3"/>
      <c r="C14" s="3"/>
      <c r="D14" s="3"/>
      <c r="E14" s="3"/>
    </row>
    <row r="15" spans="1:6" x14ac:dyDescent="0.35">
      <c r="A15" s="11" t="s">
        <v>7</v>
      </c>
      <c r="B15" s="11" t="s">
        <v>8</v>
      </c>
      <c r="C15" s="11" t="s">
        <v>9</v>
      </c>
      <c r="D15" s="11" t="s">
        <v>10</v>
      </c>
      <c r="E15" s="11" t="s">
        <v>30</v>
      </c>
    </row>
    <row r="16" spans="1:6" x14ac:dyDescent="0.35">
      <c r="A16" s="16" t="str">
        <f>Inputs!A12</f>
        <v>A</v>
      </c>
      <c r="B16" s="17">
        <f>$B$12-Inputs!B12</f>
        <v>0</v>
      </c>
      <c r="C16" s="17">
        <f>$C$12-Inputs!C12</f>
        <v>3</v>
      </c>
      <c r="D16" s="17">
        <f>$D$12-Inputs!D12</f>
        <v>11</v>
      </c>
      <c r="E16" s="19">
        <f>MAX(B16:D16)</f>
        <v>11</v>
      </c>
    </row>
    <row r="17" spans="1:5" x14ac:dyDescent="0.35">
      <c r="A17" s="16" t="str">
        <f>Inputs!A13</f>
        <v>B</v>
      </c>
      <c r="B17" s="17">
        <f>$B$12-Inputs!B13</f>
        <v>3</v>
      </c>
      <c r="C17" s="17">
        <f>$C$12-Inputs!C13</f>
        <v>2</v>
      </c>
      <c r="D17" s="17">
        <f>$D$12-Inputs!D13</f>
        <v>5</v>
      </c>
      <c r="E17" s="19">
        <f>MAX(B17:D17)</f>
        <v>5</v>
      </c>
    </row>
    <row r="18" spans="1:5" x14ac:dyDescent="0.35">
      <c r="A18" s="16" t="str">
        <f>Inputs!A14</f>
        <v>C</v>
      </c>
      <c r="B18" s="17">
        <f>$B$12-Inputs!B14</f>
        <v>7</v>
      </c>
      <c r="C18" s="17">
        <f>$C$12-Inputs!C14</f>
        <v>0</v>
      </c>
      <c r="D18" s="17">
        <f>$D$12-Inputs!D14</f>
        <v>0</v>
      </c>
      <c r="E18" s="19">
        <f>MAX(B18:D18)</f>
        <v>7</v>
      </c>
    </row>
  </sheetData>
  <mergeCells count="5">
    <mergeCell ref="A1:F1"/>
    <mergeCell ref="A2:F2"/>
    <mergeCell ref="A4:F4"/>
    <mergeCell ref="A10:D10"/>
    <mergeCell ref="A14:E14"/>
  </mergeCells>
  <pageMargins left="0.75" right="0.75" top="1" bottom="1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3864"/>
    <pageSetUpPr fitToPage="1"/>
  </sheetPr>
  <dimension ref="A1:F24"/>
  <sheetViews>
    <sheetView showGridLines="0" tabSelected="1" topLeftCell="D1" zoomScaleNormal="100" workbookViewId="0">
      <pane ySplit="3" topLeftCell="A21" activePane="bottomLeft" state="frozen"/>
      <selection pane="bottomLeft" sqref="A1:D1"/>
    </sheetView>
  </sheetViews>
  <sheetFormatPr defaultColWidth="8.6328125" defaultRowHeight="14.5" x14ac:dyDescent="0.35"/>
  <cols>
    <col min="1" max="1" width="20" customWidth="1"/>
    <col min="2" max="2" width="41.81640625" customWidth="1"/>
    <col min="3" max="3" width="12" customWidth="1"/>
    <col min="4" max="4" width="70" customWidth="1"/>
    <col min="5" max="5" width="18" customWidth="1"/>
    <col min="6" max="10" width="14" customWidth="1"/>
  </cols>
  <sheetData>
    <row r="1" spans="1:4" ht="27.75" customHeight="1" x14ac:dyDescent="0.35">
      <c r="A1" s="6" t="s">
        <v>31</v>
      </c>
      <c r="B1" s="6"/>
      <c r="C1" s="6"/>
      <c r="D1" s="6"/>
    </row>
    <row r="2" spans="1:4" x14ac:dyDescent="0.35">
      <c r="A2" s="5" t="s">
        <v>32</v>
      </c>
      <c r="B2" s="5"/>
      <c r="C2" s="5"/>
      <c r="D2" s="5"/>
    </row>
    <row r="4" spans="1:4" ht="19.5" customHeight="1" x14ac:dyDescent="0.35">
      <c r="A4" s="3" t="s">
        <v>33</v>
      </c>
      <c r="B4" s="3"/>
      <c r="C4" s="3"/>
      <c r="D4" s="3"/>
    </row>
    <row r="5" spans="1:4" x14ac:dyDescent="0.35">
      <c r="A5" s="11" t="s">
        <v>34</v>
      </c>
      <c r="B5" s="11" t="s">
        <v>35</v>
      </c>
      <c r="C5" s="11" t="s">
        <v>36</v>
      </c>
      <c r="D5" s="11" t="s">
        <v>37</v>
      </c>
    </row>
    <row r="6" spans="1:4" ht="30" customHeight="1" x14ac:dyDescent="0.35">
      <c r="A6" s="20" t="s">
        <v>38</v>
      </c>
      <c r="B6" s="21" t="str">
        <f>INDEX(Inputs!$A$12:$A$14, MATCH(MAX(Calculations!$B$6:$B$8), Calculations!$B$6:$B$8, 0))</f>
        <v>A</v>
      </c>
      <c r="C6" s="17">
        <f>MAX(Calculations!$B$6:$B$8)</f>
        <v>10</v>
      </c>
      <c r="D6" s="22" t="str">
        <f>"According to the Maximax criterion, " &amp; B6 &amp; " is chosen because it offers the highest possible payoff of " &amp; ROUND(C6,2) &amp; "."</f>
        <v>According to the Maximax criterion, A is chosen because it offers the highest possible payoff of 10.</v>
      </c>
    </row>
    <row r="7" spans="1:4" ht="30" customHeight="1" x14ac:dyDescent="0.35">
      <c r="A7" s="20" t="s">
        <v>39</v>
      </c>
      <c r="B7" s="21" t="str">
        <f>INDEX(Inputs!$A$12:$A$14, MATCH(MAX(Calculations!$C$6:$C$8), Calculations!$C$6:$C$8, 0))</f>
        <v>B</v>
      </c>
      <c r="C7" s="17">
        <f>MAX(Calculations!$C$6:$C$8)</f>
        <v>4</v>
      </c>
      <c r="D7" s="22" t="str">
        <f>"According to the Maximin criterion, " &amp; B7 &amp; " is chosen because it secures the best worst-case payoff of " &amp; ROUND(C7,2) &amp; "."</f>
        <v>According to the Maximin criterion, B is chosen because it secures the best worst-case payoff of 4.</v>
      </c>
    </row>
    <row r="8" spans="1:4" ht="30" customHeight="1" x14ac:dyDescent="0.35">
      <c r="A8" s="20" t="s">
        <v>40</v>
      </c>
      <c r="B8" s="21" t="str">
        <f>INDEX(Inputs!$A$12:$A$14, MATCH(MIN(Calculations!$E$16:$E$18), Calculations!$E$16:$E$18, 0))</f>
        <v>B</v>
      </c>
      <c r="C8" s="17">
        <f>MIN(Calculations!$E$16:$E$18)</f>
        <v>5</v>
      </c>
      <c r="D8" s="22" t="str">
        <f>"According to the Minimax Regret criterion, " &amp; B8 &amp; " is chosen because it minimizes the maximum possible regret to " &amp; ROUND(C8,2) &amp; "."</f>
        <v>According to the Minimax Regret criterion, B is chosen because it minimizes the maximum possible regret to 5.</v>
      </c>
    </row>
    <row r="9" spans="1:4" ht="30" customHeight="1" x14ac:dyDescent="0.35">
      <c r="A9" s="20" t="s">
        <v>41</v>
      </c>
      <c r="B9" s="21" t="str">
        <f>INDEX(Inputs!$A$12:$A$14, MATCH(MAX(Calculations!$D$6:$D$8), Calculations!$D$6:$D$8, 0))</f>
        <v>C</v>
      </c>
      <c r="C9" s="17">
        <f>MAX(Calculations!$D$6:$D$8)</f>
        <v>6.666666666666667</v>
      </c>
      <c r="D9" s="22" t="str">
        <f>"According to the Laplace criterion, " &amp; B9 &amp; " is chosen because it has the highest average payoff of " &amp; ROUND(C9,2) &amp; "."</f>
        <v>According to the Laplace criterion, C is chosen because it has the highest average payoff of 6,67.</v>
      </c>
    </row>
    <row r="10" spans="1:4" ht="30" customHeight="1" x14ac:dyDescent="0.35">
      <c r="A10" s="20" t="s">
        <v>42</v>
      </c>
      <c r="B10" s="21" t="str">
        <f>INDEX(Inputs!$A$12:$A$14, MATCH(MAX(Calculations!$E$6:$E$8), Calculations!$E$6:$E$8, 0))</f>
        <v>C</v>
      </c>
      <c r="C10" s="17">
        <f>MAX(Calculations!$E$6:$E$8)</f>
        <v>6.6</v>
      </c>
      <c r="D10" s="22" t="str">
        <f>"According to the Hurwicz criterion, " &amp; B10 &amp; " is chosen because it balances optimism and pessimism with a weighted score of " &amp; ROUND(C10,2) &amp; " (α=" &amp; Inputs!$B$18 &amp; ")" &amp; "."</f>
        <v>According to the Hurwicz criterion, C is chosen because it balances optimism and pessimism with a weighted score of 6,6 (α=0,6).</v>
      </c>
    </row>
    <row r="11" spans="1:4" ht="30" customHeight="1" x14ac:dyDescent="0.35">
      <c r="A11" s="20" t="s">
        <v>43</v>
      </c>
      <c r="B11" s="21" t="str">
        <f>INDEX(Inputs!$A$12:$A$14, MATCH(MAX(Calculations!$F$6:$F$8), Calculations!$F$6:$F$8, 0))</f>
        <v>C</v>
      </c>
      <c r="C11" s="17">
        <f>MAX(Calculations!$F$6:$F$8)</f>
        <v>6.7</v>
      </c>
      <c r="D11" s="22" t="str">
        <f>"According to the Expected Value criterion, " &amp; B11 &amp; " is chosen because it maximizes the expected payoff of " &amp; ROUND(C11,2) &amp; "."</f>
        <v>According to the Expected Value criterion, C is chosen because it maximizes the expected payoff of 6,7.</v>
      </c>
    </row>
    <row r="13" spans="1:4" ht="19.5" customHeight="1" x14ac:dyDescent="0.35">
      <c r="A13" s="3" t="s">
        <v>44</v>
      </c>
      <c r="B13" s="3"/>
    </row>
    <row r="14" spans="1:4" ht="26" x14ac:dyDescent="0.35">
      <c r="A14" s="11" t="s">
        <v>7</v>
      </c>
      <c r="B14" s="11" t="s">
        <v>45</v>
      </c>
    </row>
    <row r="15" spans="1:4" x14ac:dyDescent="0.35">
      <c r="A15" s="16" t="str">
        <f>Inputs!A12</f>
        <v>A</v>
      </c>
      <c r="B15" s="23">
        <f>COUNTIF($B$6:$B$11,A15)</f>
        <v>1</v>
      </c>
    </row>
    <row r="16" spans="1:4" x14ac:dyDescent="0.35">
      <c r="A16" s="16" t="str">
        <f>Inputs!A13</f>
        <v>B</v>
      </c>
      <c r="B16" s="23">
        <f>COUNTIF($B$6:$B$11,A16)</f>
        <v>2</v>
      </c>
    </row>
    <row r="17" spans="1:6" x14ac:dyDescent="0.35">
      <c r="A17" s="16" t="str">
        <f>Inputs!A14</f>
        <v>C</v>
      </c>
      <c r="B17" s="23">
        <f>COUNTIF($B$6:$B$11,A17)</f>
        <v>3</v>
      </c>
    </row>
    <row r="18" spans="1:6" x14ac:dyDescent="0.35">
      <c r="A18" s="20" t="s">
        <v>46</v>
      </c>
      <c r="B18" s="24" t="str">
        <f>INDEX(A15:A17, MATCH(MAX(B15:B17), B15:B17, 0))</f>
        <v>C</v>
      </c>
    </row>
    <row r="20" spans="1:6" ht="19.5" customHeight="1" x14ac:dyDescent="0.35">
      <c r="A20" s="3" t="s">
        <v>47</v>
      </c>
      <c r="B20" s="3"/>
      <c r="C20" s="3"/>
      <c r="D20" s="3"/>
      <c r="E20" s="3"/>
      <c r="F20" s="3"/>
    </row>
    <row r="21" spans="1:6" ht="39" x14ac:dyDescent="0.35">
      <c r="A21" s="11" t="s">
        <v>7</v>
      </c>
      <c r="B21" s="11" t="s">
        <v>38</v>
      </c>
      <c r="C21" s="11" t="s">
        <v>39</v>
      </c>
      <c r="D21" s="11" t="s">
        <v>41</v>
      </c>
      <c r="E21" s="11" t="s">
        <v>42</v>
      </c>
      <c r="F21" s="11" t="s">
        <v>43</v>
      </c>
    </row>
    <row r="22" spans="1:6" x14ac:dyDescent="0.35">
      <c r="A22" s="16" t="str">
        <f>Calculations!A6</f>
        <v>A</v>
      </c>
      <c r="B22" s="17">
        <f>Calculations!B6</f>
        <v>10</v>
      </c>
      <c r="C22" s="17">
        <f>Calculations!C6</f>
        <v>-2</v>
      </c>
      <c r="D22" s="17">
        <f>Calculations!D6</f>
        <v>4.333333333333333</v>
      </c>
      <c r="E22" s="17">
        <f>Calculations!E6</f>
        <v>5.2</v>
      </c>
      <c r="F22" s="17">
        <f>Calculations!F6</f>
        <v>5.0999999999999996</v>
      </c>
    </row>
    <row r="23" spans="1:6" x14ac:dyDescent="0.35">
      <c r="A23" s="16" t="str">
        <f>Calculations!A7</f>
        <v>B</v>
      </c>
      <c r="B23" s="17">
        <f>Calculations!B7</f>
        <v>7</v>
      </c>
      <c r="C23" s="17">
        <f>Calculations!C7</f>
        <v>4</v>
      </c>
      <c r="D23" s="17">
        <f>Calculations!D7</f>
        <v>5.666666666666667</v>
      </c>
      <c r="E23" s="17">
        <f>Calculations!E7</f>
        <v>5.8000000000000007</v>
      </c>
      <c r="F23" s="17">
        <f>Calculations!F7</f>
        <v>5.8999999999999995</v>
      </c>
    </row>
    <row r="24" spans="1:6" x14ac:dyDescent="0.35">
      <c r="A24" s="16" t="str">
        <f>Calculations!A8</f>
        <v>C</v>
      </c>
      <c r="B24" s="17">
        <f>Calculations!B8</f>
        <v>9</v>
      </c>
      <c r="C24" s="17">
        <f>Calculations!C8</f>
        <v>3</v>
      </c>
      <c r="D24" s="17">
        <f>Calculations!D8</f>
        <v>6.666666666666667</v>
      </c>
      <c r="E24" s="17">
        <f>Calculations!E8</f>
        <v>6.6</v>
      </c>
      <c r="F24" s="17">
        <f>Calculations!F8</f>
        <v>6.7</v>
      </c>
    </row>
  </sheetData>
  <mergeCells count="5">
    <mergeCell ref="A1:D1"/>
    <mergeCell ref="A2:D2"/>
    <mergeCell ref="A4:D4"/>
    <mergeCell ref="A13:B13"/>
    <mergeCell ref="A20:F20"/>
  </mergeCells>
  <pageMargins left="0.75" right="0.75" top="1" bottom="1" header="0.511811023622047" footer="0.511811023622047"/>
  <pageSetup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Inputs</vt:lpstr>
      <vt:lpstr>Calculations</vt:lpstr>
      <vt:lpstr>Results</vt:lpstr>
      <vt:lpstr>Calculations!Print_Area</vt:lpstr>
      <vt:lpstr>Inputs!Print_Area</vt:lpstr>
      <vt:lpstr>Results!Print_Area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akram rezgui</cp:lastModifiedBy>
  <cp:revision>1</cp:revision>
  <dcterms:created xsi:type="dcterms:W3CDTF">2026-07-31T16:00:06Z</dcterms:created>
  <dcterms:modified xsi:type="dcterms:W3CDTF">2026-07-31T17:45:26Z</dcterms:modified>
  <dc:language>en-US</dc:language>
</cp:coreProperties>
</file>